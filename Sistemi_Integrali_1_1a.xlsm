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itetoantoniofranco-my.sharepoint.com/personal/antonio_franco_witetoantoniofranco_onmicrosoft_com/Documents/Luigi/carrello/"/>
    </mc:Choice>
  </mc:AlternateContent>
  <xr:revisionPtr revIDLastSave="8314" documentId="8_{2D6C992A-2EA5-447E-9ED8-A811A9F0466B}" xr6:coauthVersionLast="47" xr6:coauthVersionMax="47" xr10:uidLastSave="{A2E76C8A-6F1F-435C-8BE5-E6ED489C2B0E}"/>
  <bookViews>
    <workbookView xWindow="-108" yWindow="-108" windowWidth="30936" windowHeight="16896" xr2:uid="{1481ACCB-9CA1-44DF-B49D-1FD5C6330F0A}"/>
  </bookViews>
  <sheets>
    <sheet name="Cart" sheetId="1" r:id="rId1"/>
    <sheet name="Support" sheetId="2" r:id="rId2"/>
  </sheets>
  <functionGroups builtInGroupCount="19"/>
  <definedNames>
    <definedName name="bonus_lookup">Cart!$AB$3:$AB$33</definedName>
    <definedName name="cart_output">Cart!$T$6:$W$35</definedName>
    <definedName name="default_stake">Cart!$U$2</definedName>
    <definedName name="odds_thr">Cart!$AA$3</definedName>
    <definedName name="possible_bonus">Cart!$U$39</definedName>
    <definedName name="possible_win">Cart!$U$38</definedName>
    <definedName name="save_combz">Cart!$X$2</definedName>
    <definedName name="save_combz_enum">Cart!$Y$2</definedName>
    <definedName name="stakes_column">Cart!$Y$6:$Y$35</definedName>
    <definedName name="start_betslip">Cart!$A$3</definedName>
    <definedName name="start_cart_out">Cart!$T$6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2" i="1" l="1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6" i="1"/>
  <c r="U37" i="1" l="1"/>
  <c r="U36" i="1"/>
  <c r="A3" i="1" l="1"/>
  <c r="A11" i="1"/>
  <c r="A12" i="1" s="1"/>
  <c r="A13" i="1" s="1"/>
  <c r="A14" i="1" s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4" i="1"/>
  <c r="A5" i="1" s="1"/>
  <c r="A6" i="1" s="1"/>
  <c r="A7" i="1" s="1"/>
  <c r="A8" i="1" s="1"/>
  <c r="A9" i="1" s="1"/>
  <c r="A10" i="1" s="1"/>
</calcChain>
</file>

<file path=xl/sharedStrings.xml><?xml version="1.0" encoding="utf-8"?>
<sst xmlns="http://schemas.openxmlformats.org/spreadsheetml/2006/main" count="31" uniqueCount="29">
  <si>
    <t>Odds Table</t>
  </si>
  <si>
    <t>Ev\Sel</t>
  </si>
  <si>
    <t>type</t>
  </si>
  <si>
    <t>n</t>
  </si>
  <si>
    <t>Fixed</t>
  </si>
  <si>
    <t>Quadruple</t>
  </si>
  <si>
    <t>Triple</t>
  </si>
  <si>
    <t>TEST</t>
  </si>
  <si>
    <t>multiplier</t>
  </si>
  <si>
    <t>Bonus</t>
  </si>
  <si>
    <t>sels over thr.</t>
  </si>
  <si>
    <t>Min Odds</t>
  </si>
  <si>
    <t>Default Stake</t>
  </si>
  <si>
    <t>Max Win</t>
  </si>
  <si>
    <t>Min Win</t>
  </si>
  <si>
    <t>Stake</t>
  </si>
  <si>
    <t>To pay</t>
  </si>
  <si>
    <t>Total combinations</t>
  </si>
  <si>
    <t>Possibile Win (EB)</t>
  </si>
  <si>
    <t>6-fold</t>
  </si>
  <si>
    <t>5-fold</t>
  </si>
  <si>
    <t>Double</t>
  </si>
  <si>
    <t>Single</t>
  </si>
  <si>
    <t>of which Bonus</t>
  </si>
  <si>
    <t>Export comb.</t>
  </si>
  <si>
    <t>YES</t>
  </si>
  <si>
    <t>NO</t>
  </si>
  <si>
    <t>will be saved in ./comb.csv</t>
  </si>
  <si>
    <t>each row is a combination in the format event1_id,sel1_id/event1_id,sel2_id/../odds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</si>
</sst>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4" fillId="4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/>
    </xf>
    <xf numFmtId="0" fontId="2" fillId="2" borderId="2" xfId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0" fillId="3" borderId="1" xfId="2" applyFont="1" applyAlignment="1">
      <alignment horizontal="center"/>
    </xf>
    <xf numFmtId="0" fontId="5" fillId="0" borderId="0" xfId="4" applyAlignment="1">
      <alignment horizontal="center"/>
    </xf>
    <xf numFmtId="0" fontId="2" fillId="2" borderId="2" xfId="1" applyBorder="1" applyAlignment="1">
      <alignment horizontal="left"/>
    </xf>
    <xf numFmtId="2" fontId="0" fillId="0" borderId="2" xfId="0" applyNumberFormat="1" applyBorder="1" applyAlignment="1">
      <alignment horizontal="center"/>
    </xf>
    <xf numFmtId="0" fontId="0" fillId="3" borderId="1" xfId="2" applyFont="1"/>
    <xf numFmtId="0" fontId="0" fillId="3" borderId="4" xfId="2" applyFont="1" applyBorder="1" applyAlignment="1">
      <alignment horizontal="center"/>
    </xf>
    <xf numFmtId="0" fontId="2" fillId="2" borderId="5" xfId="1" applyBorder="1" applyAlignment="1">
      <alignment horizontal="left"/>
    </xf>
    <xf numFmtId="0" fontId="0" fillId="0" borderId="2" xfId="0" applyBorder="1"/>
    <xf numFmtId="0" fontId="4" fillId="4" borderId="2" xfId="3" applyBorder="1" applyAlignment="1">
      <alignment horizontal="left"/>
    </xf>
    <xf numFmtId="2" fontId="5" fillId="0" borderId="0" xfId="4" applyNumberFormat="1" applyAlignment="1">
      <alignment horizontal="left"/>
    </xf>
    <xf numFmtId="0" fontId="5" fillId="0" borderId="0" xfId="4"/>
    <xf numFmtId="0" fontId="0" fillId="0" borderId="2" xfId="0" applyBorder="1" applyAlignment="1">
      <alignment horizontal="center"/>
    </xf>
    <xf numFmtId="0" fontId="2" fillId="2" borderId="3" xfId="1" applyBorder="1" applyAlignment="1">
      <alignment horizontal="center"/>
    </xf>
    <xf numFmtId="0" fontId="2" fillId="2" borderId="6" xfId="1" applyBorder="1" applyAlignment="1">
      <alignment horizontal="center"/>
    </xf>
  </cellXfs>
  <cellStyles count="5">
    <cellStyle name="Explanatory Text" xfId="4" builtinId="53"/>
    <cellStyle name="Good" xfId="1" builtinId="26"/>
    <cellStyle name="Neutral" xfId="3" builtinId="28"/>
    <cellStyle name="Normal" xfId="0" builtinId="0"/>
    <cellStyle name="Note" xfId="2" builtinId="10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2</xdr:row>
          <xdr:rowOff>99060</xdr:rowOff>
        </xdr:from>
        <xdr:to>
          <xdr:col>18</xdr:col>
          <xdr:colOff>373380</xdr:colOff>
          <xdr:row>4</xdr:row>
          <xdr:rowOff>60960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F164-5CFB-41BD-ABC3-821BD3472081}">
  <sheetPr codeName="Sheet1"/>
  <dimension ref="A1:AC39"/>
  <sheetViews>
    <sheetView tabSelected="1" topLeftCell="G1" zoomScale="115" zoomScaleNormal="115" workbookViewId="0">
      <selection activeCell="R8" sqref="R8"/>
    </sheetView>
  </sheetViews>
  <sheetFormatPr defaultRowHeight="14.4" x14ac:dyDescent="0.3"/>
  <cols>
    <col min="1" max="19" width="9.109375" style="1"/>
    <col min="20" max="20" width="22.5546875" style="1" bestFit="1" customWidth="1"/>
    <col min="21" max="21" width="15" style="1" bestFit="1" customWidth="1"/>
    <col min="22" max="22" width="11.33203125" style="1" bestFit="1" customWidth="1"/>
    <col min="23" max="23" width="12.109375" customWidth="1"/>
    <col min="24" max="24" width="15.5546875" bestFit="1" customWidth="1"/>
    <col min="25" max="25" width="13.88671875" bestFit="1" customWidth="1"/>
    <col min="28" max="28" width="11.44140625" bestFit="1" customWidth="1"/>
  </cols>
  <sheetData>
    <row r="1" spans="1:29" x14ac:dyDescent="0.3">
      <c r="C1" s="16" t="s">
        <v>0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W1" s="15" t="s">
        <v>27</v>
      </c>
      <c r="AA1" s="17" t="s">
        <v>9</v>
      </c>
      <c r="AB1" s="18"/>
      <c r="AC1" s="18"/>
    </row>
    <row r="2" spans="1:29" x14ac:dyDescent="0.3">
      <c r="A2" s="2" t="s">
        <v>1</v>
      </c>
      <c r="B2" s="2" t="s">
        <v>4</v>
      </c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2">
        <v>13</v>
      </c>
      <c r="P2" s="2">
        <v>14</v>
      </c>
      <c r="Q2" s="2">
        <v>15</v>
      </c>
      <c r="T2" s="7" t="s">
        <v>12</v>
      </c>
      <c r="U2" s="3">
        <v>1</v>
      </c>
      <c r="V2" s="4"/>
      <c r="W2" s="7" t="s">
        <v>24</v>
      </c>
      <c r="X2" s="3" t="s">
        <v>26</v>
      </c>
      <c r="Y2" s="15">
        <f>VLOOKUP(X2,Support!C1:D2,2,FALSE)</f>
        <v>0</v>
      </c>
      <c r="AA2" s="7" t="s">
        <v>11</v>
      </c>
      <c r="AB2" s="10" t="s">
        <v>10</v>
      </c>
      <c r="AC2" s="11" t="s">
        <v>8</v>
      </c>
    </row>
    <row r="3" spans="1:29" x14ac:dyDescent="0.3">
      <c r="A3" s="3">
        <f>IF(COUNT(C3:Q3),1,"")</f>
        <v>1</v>
      </c>
      <c r="B3" s="3">
        <v>1</v>
      </c>
      <c r="C3" s="3">
        <v>1.45</v>
      </c>
      <c r="D3" s="3">
        <v>2.0099999999999998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U3"/>
      <c r="V3"/>
      <c r="W3" s="15" t="s">
        <v>28</v>
      </c>
      <c r="AA3" s="12">
        <v>1.5</v>
      </c>
      <c r="AB3" s="12">
        <v>0</v>
      </c>
      <c r="AC3" s="12">
        <v>1</v>
      </c>
    </row>
    <row r="4" spans="1:29" x14ac:dyDescent="0.3">
      <c r="A4" s="3">
        <f>IF(COUNT(C4:Q4),A3+1,"")</f>
        <v>2</v>
      </c>
      <c r="B4" s="3">
        <v>0</v>
      </c>
      <c r="C4" s="3">
        <v>2.6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AB4" s="12">
        <v>1</v>
      </c>
      <c r="AC4" s="12">
        <v>1</v>
      </c>
    </row>
    <row r="5" spans="1:29" x14ac:dyDescent="0.3">
      <c r="A5" s="3">
        <f t="shared" ref="A5:A32" si="0">IF(COUNT(C5:Q5),A4+1,"")</f>
        <v>3</v>
      </c>
      <c r="B5" s="3">
        <v>0</v>
      </c>
      <c r="C5" s="3">
        <v>1.1000000000000001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T5" s="5" t="s">
        <v>2</v>
      </c>
      <c r="U5" s="5" t="s">
        <v>3</v>
      </c>
      <c r="V5" s="5" t="s">
        <v>13</v>
      </c>
      <c r="W5" s="5" t="s">
        <v>14</v>
      </c>
      <c r="X5" s="5" t="s">
        <v>16</v>
      </c>
      <c r="Y5" s="7" t="s">
        <v>15</v>
      </c>
      <c r="AB5" s="12">
        <v>2</v>
      </c>
      <c r="AC5" s="12">
        <v>1</v>
      </c>
    </row>
    <row r="6" spans="1:29" x14ac:dyDescent="0.3">
      <c r="A6" s="3">
        <f t="shared" si="0"/>
        <v>4</v>
      </c>
      <c r="B6" s="3">
        <v>1</v>
      </c>
      <c r="C6" s="3">
        <v>3.5</v>
      </c>
      <c r="D6" s="3">
        <v>1.3</v>
      </c>
      <c r="E6" s="3">
        <v>1.7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T6" s="3" t="s">
        <v>19</v>
      </c>
      <c r="U6" s="3">
        <v>12</v>
      </c>
      <c r="V6" s="3">
        <v>70.064727232499976</v>
      </c>
      <c r="W6" s="3">
        <v>12.008675250000001</v>
      </c>
      <c r="X6" s="3">
        <f>IF(U6&lt;&gt;"",IF(Y6="",$U$2*U6,Y6*U6),"")</f>
        <v>12</v>
      </c>
      <c r="Y6" s="3"/>
      <c r="AB6" s="12">
        <v>3</v>
      </c>
      <c r="AC6" s="12">
        <v>1</v>
      </c>
    </row>
    <row r="7" spans="1:29" x14ac:dyDescent="0.3">
      <c r="A7" s="3">
        <f t="shared" si="0"/>
        <v>5</v>
      </c>
      <c r="B7" s="3">
        <v>0</v>
      </c>
      <c r="C7" s="3">
        <v>1.65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T7" s="3" t="s">
        <v>20</v>
      </c>
      <c r="U7" s="3">
        <v>42</v>
      </c>
      <c r="V7" s="3">
        <v>63.695206574999993</v>
      </c>
      <c r="W7" s="3">
        <v>4.6187212500000001</v>
      </c>
      <c r="X7" s="3">
        <f t="shared" ref="X7:X35" si="1">IF(U7&lt;&gt;"",IF(Y7="",$U$2*U7,Y7*U7),"")</f>
        <v>42</v>
      </c>
      <c r="Y7" s="3"/>
      <c r="AB7" s="12">
        <v>4</v>
      </c>
      <c r="AC7" s="12">
        <v>1</v>
      </c>
    </row>
    <row r="8" spans="1:29" x14ac:dyDescent="0.3">
      <c r="A8" s="3">
        <f t="shared" si="0"/>
        <v>6</v>
      </c>
      <c r="B8" s="3">
        <v>0</v>
      </c>
      <c r="C8" s="3">
        <v>2.0099999999999998</v>
      </c>
      <c r="D8" s="3">
        <v>1.35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T8" s="3" t="s">
        <v>5</v>
      </c>
      <c r="U8" s="3">
        <v>54</v>
      </c>
      <c r="V8" s="3">
        <v>36.764909999999993</v>
      </c>
      <c r="W8" s="3">
        <v>2.7992250000000003</v>
      </c>
      <c r="X8" s="3">
        <f t="shared" si="1"/>
        <v>54</v>
      </c>
      <c r="Y8" s="3"/>
      <c r="AB8" s="12">
        <v>5</v>
      </c>
      <c r="AC8" s="12">
        <v>1.05</v>
      </c>
    </row>
    <row r="9" spans="1:29" x14ac:dyDescent="0.3">
      <c r="A9" s="3" t="str">
        <f t="shared" si="0"/>
        <v/>
      </c>
      <c r="B9" s="3">
        <v>0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T9" s="3" t="s">
        <v>6</v>
      </c>
      <c r="U9" s="3">
        <v>30</v>
      </c>
      <c r="V9" s="3">
        <v>18.291</v>
      </c>
      <c r="W9" s="3">
        <v>2.0735000000000001</v>
      </c>
      <c r="X9" s="3">
        <f t="shared" si="1"/>
        <v>30</v>
      </c>
      <c r="Y9" s="3"/>
      <c r="AB9" s="12">
        <v>6</v>
      </c>
      <c r="AC9" s="12">
        <v>1.08</v>
      </c>
    </row>
    <row r="10" spans="1:29" x14ac:dyDescent="0.3">
      <c r="A10" s="3" t="str">
        <f t="shared" si="0"/>
        <v/>
      </c>
      <c r="B10" s="3">
        <v>0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T10" s="3" t="s">
        <v>21</v>
      </c>
      <c r="U10" s="3">
        <v>6</v>
      </c>
      <c r="V10" s="3">
        <v>7.0349999999999993</v>
      </c>
      <c r="W10" s="3">
        <v>1.885</v>
      </c>
      <c r="X10" s="3">
        <f t="shared" si="1"/>
        <v>6</v>
      </c>
      <c r="Y10" s="3"/>
      <c r="AB10" s="12">
        <v>7</v>
      </c>
      <c r="AC10" s="12">
        <v>1.1100000000000001</v>
      </c>
    </row>
    <row r="11" spans="1:29" x14ac:dyDescent="0.3">
      <c r="A11" s="3" t="str">
        <f t="shared" si="0"/>
        <v/>
      </c>
      <c r="B11" s="3">
        <v>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T11" s="3" t="s">
        <v>22</v>
      </c>
      <c r="U11" s="3">
        <v>0</v>
      </c>
      <c r="V11" s="3"/>
      <c r="W11" s="3"/>
      <c r="X11" s="3">
        <f t="shared" si="1"/>
        <v>0</v>
      </c>
      <c r="Y11" s="3">
        <v>2</v>
      </c>
      <c r="AB11" s="12">
        <v>8</v>
      </c>
      <c r="AC11" s="12">
        <v>1.1400000000000001</v>
      </c>
    </row>
    <row r="12" spans="1:29" x14ac:dyDescent="0.3">
      <c r="A12" s="3" t="str">
        <f t="shared" si="0"/>
        <v/>
      </c>
      <c r="B12" s="3">
        <v>0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T12" s="3"/>
      <c r="U12" s="3"/>
      <c r="V12" s="3"/>
      <c r="W12" s="3"/>
      <c r="X12" s="3" t="str">
        <f t="shared" si="1"/>
        <v/>
      </c>
      <c r="Y12" s="3"/>
      <c r="AB12" s="12">
        <v>9</v>
      </c>
      <c r="AC12" s="12">
        <v>1.1700000000000002</v>
      </c>
    </row>
    <row r="13" spans="1:29" x14ac:dyDescent="0.3">
      <c r="A13" s="3" t="str">
        <f t="shared" si="0"/>
        <v/>
      </c>
      <c r="B13" s="3">
        <v>0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T13" s="3"/>
      <c r="U13" s="3"/>
      <c r="V13" s="3"/>
      <c r="W13" s="3"/>
      <c r="X13" s="3" t="str">
        <f t="shared" si="1"/>
        <v/>
      </c>
      <c r="Y13" s="3"/>
      <c r="AB13" s="12">
        <v>10</v>
      </c>
      <c r="AC13" s="12">
        <v>1.2000000000000002</v>
      </c>
    </row>
    <row r="14" spans="1:29" x14ac:dyDescent="0.3">
      <c r="A14" s="3" t="str">
        <f t="shared" si="0"/>
        <v/>
      </c>
      <c r="B14" s="3">
        <v>0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T14" s="3"/>
      <c r="U14" s="3"/>
      <c r="V14" s="3"/>
      <c r="W14" s="3"/>
      <c r="X14" s="3" t="str">
        <f t="shared" si="1"/>
        <v/>
      </c>
      <c r="Y14" s="3"/>
      <c r="AB14" s="12">
        <v>11</v>
      </c>
      <c r="AC14" s="12">
        <v>1.2300000000000002</v>
      </c>
    </row>
    <row r="15" spans="1:29" x14ac:dyDescent="0.3">
      <c r="A15" s="3" t="str">
        <f t="shared" si="0"/>
        <v/>
      </c>
      <c r="B15" s="3">
        <v>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T15" s="3"/>
      <c r="U15" s="3"/>
      <c r="V15" s="3"/>
      <c r="W15" s="3"/>
      <c r="X15" s="3" t="str">
        <f t="shared" si="1"/>
        <v/>
      </c>
      <c r="Y15" s="3"/>
      <c r="AB15" s="12">
        <v>12</v>
      </c>
      <c r="AC15" s="12">
        <v>1.2600000000000002</v>
      </c>
    </row>
    <row r="16" spans="1:29" x14ac:dyDescent="0.3">
      <c r="A16" s="3" t="str">
        <f t="shared" si="0"/>
        <v/>
      </c>
      <c r="B16" s="3">
        <v>0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T16" s="3"/>
      <c r="U16" s="3"/>
      <c r="V16" s="3"/>
      <c r="W16" s="3"/>
      <c r="X16" s="3" t="str">
        <f t="shared" si="1"/>
        <v/>
      </c>
      <c r="Y16" s="3"/>
      <c r="AB16" s="12">
        <v>13</v>
      </c>
      <c r="AC16" s="12">
        <v>1.2900000000000003</v>
      </c>
    </row>
    <row r="17" spans="1:29" x14ac:dyDescent="0.3">
      <c r="A17" s="3" t="str">
        <f t="shared" si="0"/>
        <v/>
      </c>
      <c r="B17" s="3">
        <v>0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T17" s="3"/>
      <c r="U17" s="3"/>
      <c r="V17" s="3"/>
      <c r="W17" s="3"/>
      <c r="X17" s="3" t="str">
        <f t="shared" si="1"/>
        <v/>
      </c>
      <c r="Y17" s="3"/>
      <c r="AB17" s="12">
        <v>14</v>
      </c>
      <c r="AC17" s="12">
        <v>1.3200000000000003</v>
      </c>
    </row>
    <row r="18" spans="1:29" x14ac:dyDescent="0.3">
      <c r="A18" s="3" t="str">
        <f t="shared" si="0"/>
        <v/>
      </c>
      <c r="B18" s="3">
        <v>0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T18" s="3"/>
      <c r="U18" s="3"/>
      <c r="V18" s="3"/>
      <c r="W18" s="3"/>
      <c r="X18" s="3" t="str">
        <f t="shared" si="1"/>
        <v/>
      </c>
      <c r="Y18" s="3"/>
      <c r="AB18" s="12">
        <v>15</v>
      </c>
      <c r="AC18" s="12">
        <v>1.3500000000000003</v>
      </c>
    </row>
    <row r="19" spans="1:29" x14ac:dyDescent="0.3">
      <c r="A19" s="3" t="str">
        <f t="shared" si="0"/>
        <v/>
      </c>
      <c r="B19" s="3">
        <v>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T19" s="3"/>
      <c r="U19" s="3"/>
      <c r="V19" s="3"/>
      <c r="W19" s="3"/>
      <c r="X19" s="3" t="str">
        <f t="shared" si="1"/>
        <v/>
      </c>
      <c r="Y19" s="3"/>
      <c r="AB19" s="12">
        <v>16</v>
      </c>
      <c r="AC19" s="12">
        <v>1.3800000000000003</v>
      </c>
    </row>
    <row r="20" spans="1:29" x14ac:dyDescent="0.3">
      <c r="A20" s="3" t="str">
        <f t="shared" si="0"/>
        <v/>
      </c>
      <c r="B20" s="3">
        <v>0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T20" s="3"/>
      <c r="U20" s="3"/>
      <c r="V20" s="3"/>
      <c r="W20" s="3"/>
      <c r="X20" s="3" t="str">
        <f t="shared" si="1"/>
        <v/>
      </c>
      <c r="Y20" s="3"/>
      <c r="AB20" s="12">
        <v>17</v>
      </c>
      <c r="AC20" s="12">
        <v>1.4100000000000004</v>
      </c>
    </row>
    <row r="21" spans="1:29" x14ac:dyDescent="0.3">
      <c r="A21" s="3" t="str">
        <f t="shared" si="0"/>
        <v/>
      </c>
      <c r="B21" s="3">
        <v>0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T21" s="3"/>
      <c r="U21" s="3"/>
      <c r="V21" s="3"/>
      <c r="W21" s="3"/>
      <c r="X21" s="3" t="str">
        <f t="shared" si="1"/>
        <v/>
      </c>
      <c r="Y21" s="3"/>
      <c r="AB21" s="12">
        <v>18</v>
      </c>
      <c r="AC21" s="12">
        <v>1.4400000000000004</v>
      </c>
    </row>
    <row r="22" spans="1:29" x14ac:dyDescent="0.3">
      <c r="A22" s="3" t="str">
        <f t="shared" si="0"/>
        <v/>
      </c>
      <c r="B22" s="3">
        <v>0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T22" s="3"/>
      <c r="U22" s="3"/>
      <c r="V22" s="3"/>
      <c r="W22" s="3"/>
      <c r="X22" s="3" t="str">
        <f t="shared" si="1"/>
        <v/>
      </c>
      <c r="Y22" s="3"/>
      <c r="AB22" s="12">
        <v>19</v>
      </c>
      <c r="AC22" s="12">
        <v>1.4700000000000004</v>
      </c>
    </row>
    <row r="23" spans="1:29" x14ac:dyDescent="0.3">
      <c r="A23" s="3" t="str">
        <f t="shared" si="0"/>
        <v/>
      </c>
      <c r="B23" s="3">
        <v>0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T23" s="3"/>
      <c r="U23" s="3"/>
      <c r="V23" s="3"/>
      <c r="W23" s="3"/>
      <c r="X23" s="3" t="str">
        <f t="shared" si="1"/>
        <v/>
      </c>
      <c r="Y23" s="3"/>
      <c r="AB23" s="12">
        <v>20</v>
      </c>
      <c r="AC23" s="12">
        <v>1.5000000000000004</v>
      </c>
    </row>
    <row r="24" spans="1:29" x14ac:dyDescent="0.3">
      <c r="A24" s="3" t="str">
        <f t="shared" si="0"/>
        <v/>
      </c>
      <c r="B24" s="3">
        <v>0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T24" s="3"/>
      <c r="U24" s="3"/>
      <c r="V24" s="3"/>
      <c r="W24" s="3"/>
      <c r="X24" s="3" t="str">
        <f t="shared" si="1"/>
        <v/>
      </c>
      <c r="Y24" s="3"/>
      <c r="AB24" s="12">
        <v>21</v>
      </c>
      <c r="AC24" s="12">
        <v>1.5300000000000005</v>
      </c>
    </row>
    <row r="25" spans="1:29" x14ac:dyDescent="0.3">
      <c r="A25" s="3" t="str">
        <f t="shared" si="0"/>
        <v/>
      </c>
      <c r="B25" s="3">
        <v>0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T25" s="3"/>
      <c r="U25" s="3"/>
      <c r="V25" s="3"/>
      <c r="W25" s="3"/>
      <c r="X25" s="3" t="str">
        <f t="shared" si="1"/>
        <v/>
      </c>
      <c r="Y25" s="3"/>
      <c r="AB25" s="12">
        <v>22</v>
      </c>
      <c r="AC25" s="12">
        <v>1.5600000000000005</v>
      </c>
    </row>
    <row r="26" spans="1:29" x14ac:dyDescent="0.3">
      <c r="A26" s="3" t="str">
        <f t="shared" si="0"/>
        <v/>
      </c>
      <c r="B26" s="3">
        <v>0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T26" s="3"/>
      <c r="U26" s="3"/>
      <c r="V26" s="3"/>
      <c r="W26" s="3"/>
      <c r="X26" s="3" t="str">
        <f t="shared" si="1"/>
        <v/>
      </c>
      <c r="Y26" s="3"/>
      <c r="AB26" s="12">
        <v>23</v>
      </c>
      <c r="AC26" s="12">
        <v>1.5900000000000005</v>
      </c>
    </row>
    <row r="27" spans="1:29" x14ac:dyDescent="0.3">
      <c r="A27" s="3" t="str">
        <f t="shared" si="0"/>
        <v/>
      </c>
      <c r="B27" s="3">
        <v>0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T27" s="3"/>
      <c r="U27" s="3"/>
      <c r="V27" s="3"/>
      <c r="W27" s="3"/>
      <c r="X27" s="3" t="str">
        <f t="shared" si="1"/>
        <v/>
      </c>
      <c r="Y27" s="3"/>
      <c r="AB27" s="12">
        <v>24</v>
      </c>
      <c r="AC27" s="12">
        <v>1.6200000000000006</v>
      </c>
    </row>
    <row r="28" spans="1:29" x14ac:dyDescent="0.3">
      <c r="A28" s="3" t="str">
        <f t="shared" si="0"/>
        <v/>
      </c>
      <c r="B28" s="3">
        <v>0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T28" s="3"/>
      <c r="U28" s="3"/>
      <c r="V28" s="3"/>
      <c r="W28" s="3"/>
      <c r="X28" s="3" t="str">
        <f t="shared" si="1"/>
        <v/>
      </c>
      <c r="Y28" s="3"/>
      <c r="AB28" s="12">
        <v>25</v>
      </c>
      <c r="AC28" s="12">
        <v>1.6500000000000006</v>
      </c>
    </row>
    <row r="29" spans="1:29" x14ac:dyDescent="0.3">
      <c r="A29" s="3" t="str">
        <f t="shared" si="0"/>
        <v/>
      </c>
      <c r="B29" s="3">
        <v>0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T29" s="3"/>
      <c r="U29" s="3"/>
      <c r="V29" s="3"/>
      <c r="W29" s="3"/>
      <c r="X29" s="3" t="str">
        <f t="shared" si="1"/>
        <v/>
      </c>
      <c r="Y29" s="3"/>
      <c r="AB29" s="12">
        <v>26</v>
      </c>
      <c r="AC29" s="12">
        <v>1.6800000000000006</v>
      </c>
    </row>
    <row r="30" spans="1:29" x14ac:dyDescent="0.3">
      <c r="A30" s="3" t="str">
        <f t="shared" si="0"/>
        <v/>
      </c>
      <c r="B30" s="3">
        <v>0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T30" s="3"/>
      <c r="U30" s="3"/>
      <c r="V30" s="3"/>
      <c r="W30" s="3"/>
      <c r="X30" s="3" t="str">
        <f t="shared" si="1"/>
        <v/>
      </c>
      <c r="Y30" s="3"/>
      <c r="AB30" s="12">
        <v>27</v>
      </c>
      <c r="AC30" s="12">
        <v>1.7100000000000006</v>
      </c>
    </row>
    <row r="31" spans="1:29" x14ac:dyDescent="0.3">
      <c r="A31" s="3" t="str">
        <f t="shared" si="0"/>
        <v/>
      </c>
      <c r="B31" s="3">
        <v>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T31" s="3"/>
      <c r="U31" s="3"/>
      <c r="V31" s="3"/>
      <c r="W31" s="3"/>
      <c r="X31" s="3" t="str">
        <f t="shared" si="1"/>
        <v/>
      </c>
      <c r="Y31" s="3"/>
      <c r="AB31" s="12">
        <v>28</v>
      </c>
      <c r="AC31" s="12">
        <v>1.7400000000000007</v>
      </c>
    </row>
    <row r="32" spans="1:29" x14ac:dyDescent="0.3">
      <c r="A32" s="3" t="str">
        <f t="shared" si="0"/>
        <v/>
      </c>
      <c r="B32" s="3">
        <v>0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T32" s="3"/>
      <c r="U32" s="3"/>
      <c r="V32" s="3"/>
      <c r="W32" s="3"/>
      <c r="X32" s="3" t="str">
        <f t="shared" si="1"/>
        <v/>
      </c>
      <c r="Y32" s="3"/>
      <c r="AB32" s="12">
        <v>29</v>
      </c>
      <c r="AC32" s="12">
        <v>1.7700000000000007</v>
      </c>
    </row>
    <row r="33" spans="20:29" x14ac:dyDescent="0.3">
      <c r="T33" s="3"/>
      <c r="U33" s="3"/>
      <c r="V33" s="3"/>
      <c r="W33" s="3"/>
      <c r="X33" s="3" t="str">
        <f t="shared" si="1"/>
        <v/>
      </c>
      <c r="Y33" s="3"/>
      <c r="AB33" s="12">
        <v>30</v>
      </c>
      <c r="AC33" s="12">
        <v>1.8000000000000007</v>
      </c>
    </row>
    <row r="34" spans="20:29" x14ac:dyDescent="0.3">
      <c r="T34" s="3"/>
      <c r="U34" s="3"/>
      <c r="V34" s="3"/>
      <c r="W34" s="3"/>
      <c r="X34" s="3" t="str">
        <f t="shared" si="1"/>
        <v/>
      </c>
      <c r="Y34" s="3"/>
    </row>
    <row r="35" spans="20:29" x14ac:dyDescent="0.3">
      <c r="T35" s="3"/>
      <c r="U35" s="3"/>
      <c r="V35" s="3"/>
      <c r="W35" s="3"/>
      <c r="X35" s="3" t="str">
        <f t="shared" si="1"/>
        <v/>
      </c>
      <c r="Y35" s="3"/>
    </row>
    <row r="36" spans="20:29" x14ac:dyDescent="0.3">
      <c r="T36" s="13" t="s">
        <v>17</v>
      </c>
      <c r="U36" s="3">
        <f>SUM(U6:U35)</f>
        <v>144</v>
      </c>
    </row>
    <row r="37" spans="20:29" x14ac:dyDescent="0.3">
      <c r="T37" s="13" t="s">
        <v>16</v>
      </c>
      <c r="U37" s="3">
        <f>SUM(X6:X35)</f>
        <v>144</v>
      </c>
    </row>
    <row r="38" spans="20:29" x14ac:dyDescent="0.3">
      <c r="T38" s="13" t="s">
        <v>18</v>
      </c>
      <c r="U38" s="8">
        <v>1973.9252054339997</v>
      </c>
      <c r="V38" s="14"/>
    </row>
    <row r="39" spans="20:29" x14ac:dyDescent="0.3">
      <c r="T39" s="13" t="s">
        <v>23</v>
      </c>
      <c r="U39" s="8">
        <v>9.4632878340000062</v>
      </c>
      <c r="V39" s="6"/>
    </row>
  </sheetData>
  <mergeCells count="2">
    <mergeCell ref="C1:Q1"/>
    <mergeCell ref="AA1:AC1"/>
  </mergeCells>
  <conditionalFormatting sqref="B3:B32">
    <cfRule type="cellIs" dxfId="0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eval">
                <anchor moveWithCells="1" sizeWithCells="1">
                  <from>
                    <xdr:col>17</xdr:col>
                    <xdr:colOff>228600</xdr:colOff>
                    <xdr:row>2</xdr:row>
                    <xdr:rowOff>99060</xdr:rowOff>
                  </from>
                  <to>
                    <xdr:col>18</xdr:col>
                    <xdr:colOff>373380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860407-FE81-47BA-83CF-A5C02AA6C296}">
          <x14:formula1>
            <xm:f>Support!$A$1:$A$2</xm:f>
          </x14:formula1>
          <xm:sqref>B3:B32</xm:sqref>
        </x14:dataValidation>
        <x14:dataValidation type="list" allowBlank="1" showInputMessage="1" showErrorMessage="1" xr:uid="{98F0182F-71AE-4488-9683-08670B6C71A9}">
          <x14:formula1>
            <xm:f>Support!$C$1:$C$2</xm:f>
          </x14:formula1>
          <xm:sqref>X2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FCC0A-452C-461F-BA8E-C8CB553CBE34}">
  <sheetPr codeName="Sheet2"/>
  <dimension ref="A1:Z2"/>
  <sheetViews>
    <sheetView workbookViewId="0">
      <selection activeCell="D1" sqref="D1"/>
    </sheetView>
  </sheetViews>
  <sheetFormatPr defaultRowHeight="14.4" x14ac:dyDescent="0.3"/>
  <sheetData>
    <row r="1" spans="1:26" x14ac:dyDescent="0.3">
      <c r="A1">
        <v>0</v>
      </c>
      <c r="C1" t="s">
        <v>25</v>
      </c>
      <c r="D1">
        <v>1</v>
      </c>
      <c r="Z1" s="9" t="s">
        <v>7</v>
      </c>
    </row>
    <row r="2" spans="1:26" x14ac:dyDescent="0.3">
      <c r="A2">
        <v>1</v>
      </c>
      <c r="C2" t="s">
        <v>26</v>
      </c>
      <c r="D2">
        <v>0</v>
      </c>
      <c r="Z2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Cart</vt:lpstr>
      <vt:lpstr>Support</vt:lpstr>
      <vt:lpstr>bonus_lookup</vt:lpstr>
      <vt:lpstr>cart_output</vt:lpstr>
      <vt:lpstr>default_stake</vt:lpstr>
      <vt:lpstr>odds_thr</vt:lpstr>
      <vt:lpstr>possible_bonus</vt:lpstr>
      <vt:lpstr>possible_win</vt:lpstr>
      <vt:lpstr>save_combz</vt:lpstr>
      <vt:lpstr>save_combz_enum</vt:lpstr>
      <vt:lpstr>stakes_column</vt:lpstr>
      <vt:lpstr>start_betslip</vt:lpstr>
      <vt:lpstr>start_cart_out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Franco</dc:creator>
  <cp:lastModifiedBy>Antonio Franco</cp:lastModifiedBy>
  <dcterms:created xsi:type="dcterms:W3CDTF">2020-09-19T18:13:52Z</dcterms:created>
  <dcterms:modified xsi:type="dcterms:W3CDTF">2023-01-05T17:43:27Z</dcterms:modified>
</cp:coreProperties>
</file>